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ESP32-PoE\esp32_POE\"/>
    </mc:Choice>
  </mc:AlternateContent>
  <xr:revisionPtr revIDLastSave="0" documentId="13_ncr:1_{7F9F0467-D2D9-4543-94ED-8EE4C4BE5A10}" xr6:coauthVersionLast="47" xr6:coauthVersionMax="47" xr10:uidLastSave="{00000000-0000-0000-0000-000000000000}"/>
  <bookViews>
    <workbookView xWindow="-34510" yWindow="-4180" windowWidth="34620" windowHeight="13900" xr2:uid="{90077AC4-3C18-4D44-BDB2-95AA915FB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20" i="1"/>
  <c r="D22" i="1"/>
  <c r="D24" i="1"/>
  <c r="D4" i="1"/>
</calcChain>
</file>

<file path=xl/sharedStrings.xml><?xml version="1.0" encoding="utf-8"?>
<sst xmlns="http://schemas.openxmlformats.org/spreadsheetml/2006/main" count="48" uniqueCount="47">
  <si>
    <t>BOM pour ESP32-PoE</t>
  </si>
  <si>
    <t>Nom</t>
  </si>
  <si>
    <t>Lien</t>
  </si>
  <si>
    <t>Quantité</t>
  </si>
  <si>
    <t>Prix total</t>
  </si>
  <si>
    <t>PCB</t>
  </si>
  <si>
    <t>jlcpcb.com</t>
  </si>
  <si>
    <t>Remarques</t>
  </si>
  <si>
    <t>ESP-WROOM-32E 4MB</t>
  </si>
  <si>
    <t>https://www.aliexpress.com/item/1005001560958763.html</t>
  </si>
  <si>
    <t>(livraison incluse)</t>
  </si>
  <si>
    <t>Mini DC-DC Buck (6V-32V to 5V)</t>
  </si>
  <si>
    <t>https://www.aliexpress.com/item/1005005505907937.html?</t>
  </si>
  <si>
    <t>AMS1117 3.3V</t>
  </si>
  <si>
    <t>https://www.aliexpress.com/item/1005005350284100.html</t>
  </si>
  <si>
    <t>TPS2375</t>
  </si>
  <si>
    <t>https://www.aliexpress.com/item/1005007349282437.html</t>
  </si>
  <si>
    <t>TXS0108E (à dessouder)</t>
  </si>
  <si>
    <t>https://www.aliexpress.com/item/4001336438913.html</t>
  </si>
  <si>
    <t>WE-RJ45 LAN Transformer</t>
  </si>
  <si>
    <t>https://www.we-online.com/en/components/products/WE-LAN-RJ45?sq=7499211125#7499211125</t>
  </si>
  <si>
    <t>https://www.aliexpress.com/item/1005007055503766.html</t>
  </si>
  <si>
    <t>3P Screw terminal</t>
  </si>
  <si>
    <t>CH340C SOP-16</t>
  </si>
  <si>
    <t>https://www.aliexpress.com/item/1005004970840775.html</t>
  </si>
  <si>
    <t>https://www.aliexpress.com/item/33029877427.html</t>
  </si>
  <si>
    <t>Resistances 0603 33Value x 20pcs</t>
  </si>
  <si>
    <t>Capa 0603 720 PCS 36 Value</t>
  </si>
  <si>
    <t>https://www.aliexpress.com/item/1005005398588928.html</t>
  </si>
  <si>
    <t>(trop chiant à trouver sur aliexpress donc obligés de passer par wurth)</t>
  </si>
  <si>
    <t>2P Screw terminal</t>
  </si>
  <si>
    <t>https://www.aliexpress.com/item/1005007426642375.html</t>
  </si>
  <si>
    <t>Type C Female 16Pin</t>
  </si>
  <si>
    <t>Bien prendre celle là !! (gros trucs sur les côtés verticaux)</t>
  </si>
  <si>
    <t>TOTAL</t>
  </si>
  <si>
    <t>https://fr.aliexpress.com/item/1005006121409115.html</t>
  </si>
  <si>
    <t>Zener 1N4742-12V</t>
  </si>
  <si>
    <t>TPS2373</t>
  </si>
  <si>
    <t>https://fr.aliexpress.com/item/1005006870094709.html</t>
  </si>
  <si>
    <t>https://fr.aliexpress.com/item/1005004917328273.html</t>
  </si>
  <si>
    <t>SMAJ58A</t>
  </si>
  <si>
    <t>Résistance 1.3k 1/8W</t>
  </si>
  <si>
    <t>https://fr.aliexpress.com/item/1005005240650820.html</t>
  </si>
  <si>
    <t>Kit de 100 mais en vrai on en a au clubelek donc tkt</t>
  </si>
  <si>
    <t>LAN8710A</t>
  </si>
  <si>
    <t>https://fr.aliexpress.com/item/1005006944602617.html</t>
  </si>
  <si>
    <t>Pas bcp moins 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</si>
</sst>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3" borderId="0" xfId="2"/>
    <xf numFmtId="0" fontId="2" fillId="2" borderId="0" xfId="1"/>
    <xf numFmtId="0" fontId="4" fillId="2" borderId="0" xfId="3" applyFill="1"/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4562475</xdr:colOff>
      <xdr:row>5</xdr:row>
      <xdr:rowOff>38100</xdr:rowOff>
    </xdr:from>
    <xdr:to>
      <xdr:col>4</xdr:col>
      <xdr:colOff>6648741</xdr:colOff>
      <xdr:row>14</xdr:row>
      <xdr:rowOff>171696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A78CF2-F74C-8714-70C2-65B127599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6050" y="942975"/>
          <a:ext cx="2086266" cy="17623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r.aliexpress.com/item/1005004917328273.html" TargetMode="External"/><Relationship Id="rId1" Type="http://schemas.openxmlformats.org/officeDocument/2006/relationships/hyperlink" Target="https://fr.aliexpress.com/item/1005006870094709.htm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B2603-4833-45E9-B85C-D9E1C94910A8}">
  <dimension ref="A1:G24"/>
  <sheetViews>
    <sheetView tabSelected="1" workbookViewId="0">
      <selection activeCell="C30" sqref="C30"/>
    </sheetView>
  </sheetViews>
  <sheetFormatPr defaultRowHeight="14.25" x14ac:dyDescent="0.45"/>
  <cols>
    <col min="1" max="1" width="30.265625" customWidth="1"/>
    <col min="2" max="2" width="27.46484375" customWidth="1"/>
    <col min="3" max="3" width="11.06640625" customWidth="1"/>
    <col min="4" max="4" width="11.59765625" customWidth="1"/>
    <col min="5" max="5" width="99.33203125" customWidth="1"/>
  </cols>
  <sheetData>
    <row r="1" spans="1:7" x14ac:dyDescent="0.45">
      <c r="A1" t="s">
        <v>0</v>
      </c>
    </row>
    <row r="3" spans="1:7" x14ac:dyDescent="0.45">
      <c r="A3" t="s">
        <v>1</v>
      </c>
      <c r="B3" t="s">
        <v>2</v>
      </c>
      <c r="C3" t="s">
        <v>3</v>
      </c>
      <c r="D3" t="s">
        <v>4</v>
      </c>
      <c r="E3" t="s">
        <v>7</v>
      </c>
    </row>
    <row r="4" spans="1:7" x14ac:dyDescent="0.45">
      <c r="A4" t="s">
        <v>5</v>
      </c>
      <c r="B4" t="s">
        <v>6</v>
      </c>
      <c r="C4">
        <v>5</v>
      </c>
      <c r="D4">
        <f>1.83+1.37</f>
        <v>3.2</v>
      </c>
      <c r="E4" t="s">
        <v>10</v>
      </c>
      <c r="G4" t="s">
        <v>34</v>
      </c>
    </row>
    <row r="5" spans="1:7" x14ac:dyDescent="0.45">
      <c r="A5" t="s">
        <v>8</v>
      </c>
      <c r="B5" t="s">
        <v>9</v>
      </c>
      <c r="C5">
        <v>1</v>
      </c>
      <c r="D5">
        <v>2.46</v>
      </c>
      <c r="G5" s="1">
        <f>SUM(D:D)</f>
        <v>29.446799999999996</v>
      </c>
    </row>
    <row r="6" spans="1:7" x14ac:dyDescent="0.45">
      <c r="A6" t="s">
        <v>11</v>
      </c>
      <c r="B6" t="s">
        <v>12</v>
      </c>
      <c r="C6">
        <v>1</v>
      </c>
      <c r="D6">
        <v>2.4500000000000002</v>
      </c>
    </row>
    <row r="7" spans="1:7" x14ac:dyDescent="0.45">
      <c r="A7" t="s">
        <v>13</v>
      </c>
      <c r="B7" t="s">
        <v>14</v>
      </c>
      <c r="C7">
        <v>50</v>
      </c>
      <c r="D7">
        <v>1.89</v>
      </c>
    </row>
    <row r="8" spans="1:7" x14ac:dyDescent="0.45">
      <c r="A8" s="2" t="s">
        <v>15</v>
      </c>
      <c r="B8" s="2" t="s">
        <v>16</v>
      </c>
      <c r="C8" s="2">
        <v>1</v>
      </c>
      <c r="D8" s="2">
        <v>2.95</v>
      </c>
    </row>
    <row r="9" spans="1:7" x14ac:dyDescent="0.45">
      <c r="A9" t="s">
        <v>17</v>
      </c>
      <c r="B9" t="s">
        <v>18</v>
      </c>
      <c r="C9">
        <v>1</v>
      </c>
      <c r="D9">
        <v>0.9</v>
      </c>
    </row>
    <row r="10" spans="1:7" x14ac:dyDescent="0.45">
      <c r="A10" t="s">
        <v>32</v>
      </c>
      <c r="B10" t="s">
        <v>31</v>
      </c>
      <c r="C10">
        <v>10</v>
      </c>
      <c r="D10">
        <v>1.7</v>
      </c>
      <c r="E10" t="s">
        <v>33</v>
      </c>
    </row>
    <row r="11" spans="1:7" x14ac:dyDescent="0.45">
      <c r="A11" t="s">
        <v>19</v>
      </c>
      <c r="B11" t="s">
        <v>20</v>
      </c>
      <c r="C11">
        <v>1</v>
      </c>
      <c r="D11">
        <v>0</v>
      </c>
      <c r="E11" t="s">
        <v>29</v>
      </c>
    </row>
    <row r="12" spans="1:7" x14ac:dyDescent="0.45">
      <c r="A12" t="s">
        <v>30</v>
      </c>
      <c r="B12" t="s">
        <v>21</v>
      </c>
      <c r="C12">
        <v>10</v>
      </c>
      <c r="D12">
        <v>1.33</v>
      </c>
    </row>
    <row r="13" spans="1:7" x14ac:dyDescent="0.45">
      <c r="A13" t="s">
        <v>22</v>
      </c>
      <c r="B13" t="s">
        <v>21</v>
      </c>
      <c r="C13">
        <v>10</v>
      </c>
      <c r="D13">
        <v>1.63</v>
      </c>
    </row>
    <row r="14" spans="1:7" x14ac:dyDescent="0.45">
      <c r="A14" t="s">
        <v>23</v>
      </c>
      <c r="B14" t="s">
        <v>24</v>
      </c>
      <c r="C14">
        <v>5</v>
      </c>
      <c r="D14">
        <v>1.89</v>
      </c>
    </row>
    <row r="15" spans="1:7" x14ac:dyDescent="0.45">
      <c r="A15" t="s">
        <v>26</v>
      </c>
      <c r="B15" t="s">
        <v>25</v>
      </c>
      <c r="C15">
        <v>20</v>
      </c>
      <c r="D15">
        <v>1.81</v>
      </c>
    </row>
    <row r="16" spans="1:7" x14ac:dyDescent="0.45">
      <c r="A16" t="s">
        <v>27</v>
      </c>
      <c r="B16" t="s">
        <v>28</v>
      </c>
      <c r="C16">
        <v>720</v>
      </c>
      <c r="D16">
        <v>2.74</v>
      </c>
    </row>
    <row r="20" spans="1:5" x14ac:dyDescent="0.45">
      <c r="A20" s="3" t="s">
        <v>36</v>
      </c>
      <c r="B20" s="3" t="s">
        <v>35</v>
      </c>
      <c r="C20" s="3">
        <v>1</v>
      </c>
      <c r="D20" s="3">
        <f>0.99/50</f>
        <v>1.9799999999999998E-2</v>
      </c>
    </row>
    <row r="21" spans="1:5" x14ac:dyDescent="0.45">
      <c r="A21" s="3" t="s">
        <v>37</v>
      </c>
      <c r="B21" s="4" t="s">
        <v>38</v>
      </c>
      <c r="C21" s="3">
        <v>1</v>
      </c>
      <c r="D21" s="3">
        <v>2.94</v>
      </c>
      <c r="E21" t="s">
        <v>46</v>
      </c>
    </row>
    <row r="22" spans="1:5" x14ac:dyDescent="0.45">
      <c r="A22" s="3" t="s">
        <v>40</v>
      </c>
      <c r="B22" s="4" t="s">
        <v>39</v>
      </c>
      <c r="C22" s="3">
        <v>1</v>
      </c>
      <c r="D22" s="3">
        <f>1.59/10</f>
        <v>0.159</v>
      </c>
    </row>
    <row r="23" spans="1:5" x14ac:dyDescent="0.45">
      <c r="A23" s="3" t="s">
        <v>41</v>
      </c>
      <c r="B23" s="3" t="s">
        <v>42</v>
      </c>
      <c r="C23" s="3">
        <v>1</v>
      </c>
      <c r="D23" s="3">
        <v>0.99</v>
      </c>
      <c r="E23" t="s">
        <v>43</v>
      </c>
    </row>
    <row r="24" spans="1:5" x14ac:dyDescent="0.45">
      <c r="A24" s="3" t="s">
        <v>44</v>
      </c>
      <c r="B24" s="3" t="s">
        <v>45</v>
      </c>
      <c r="C24" s="3">
        <v>1</v>
      </c>
      <c r="D24" s="3">
        <f>1.94/5</f>
        <v>0.38800000000000001</v>
      </c>
    </row>
  </sheetData>
  <hyperlinks>
    <hyperlink ref="B21" r:id="rId1" xr:uid="{97CBB65F-5C1D-4238-9E7D-93525CC7BB4D}"/>
    <hyperlink ref="B22" r:id="rId2" xr:uid="{9F3E24B6-8ACE-441A-8A53-00EED33A7B2F}"/>
  </hyperlinks>
  <pageMargins left="0.7" right="0.7" top="0.75" bottom="0.75" header="0.3" footer="0.3"/>
  <pageSetup paperSize="0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Clémentin GRANIER</dc:creator>
  <cp:lastModifiedBy>Clementin Granier</cp:lastModifiedBy>
  <dcterms:created xsi:type="dcterms:W3CDTF">2024-08-06T12:44:54Z</dcterms:created>
  <dcterms:modified xsi:type="dcterms:W3CDTF">2024-11-25T12:43:14Z</dcterms:modified>
</cp:coreProperties>
</file>